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jects" sheetId="2" state="visible" r:id="rId4"/>
    <sheet name="Timeline" sheetId="3" state="visible" r:id="rId5"/>
    <sheet name="Budget Track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<sst xmlns="http://schemas.openxmlformats.org/spreadsheetml/2006/main" count="143" uniqueCount="111">
  <si>
    <t xml:space="preserve">PROJECT MANAGEMENT PORTFOLIO</t>
  </si>
  <si>
    <t xml:space="preserve">Total Projects</t>
  </si>
  <si>
    <t xml:space="preserve">Total Budget</t>
  </si>
  <si>
    <t xml:space="preserve">Active Projects</t>
  </si>
  <si>
    <t xml:space="preserve">Spent to Date</t>
  </si>
  <si>
    <t xml:space="preserve">Completed Projects</t>
  </si>
  <si>
    <t xml:space="preserve">Remaining Budget</t>
  </si>
  <si>
    <t xml:space="preserve">At Risk Projects</t>
  </si>
  <si>
    <t xml:space="preserve">Budget Utilization</t>
  </si>
  <si>
    <t xml:space="preserve">PROJECT LIST</t>
  </si>
  <si>
    <t xml:space="preserve">ID</t>
  </si>
  <si>
    <t xml:space="preserve">Project Name</t>
  </si>
  <si>
    <t xml:space="preserve">Owner</t>
  </si>
  <si>
    <t xml:space="preserve">Status</t>
  </si>
  <si>
    <t xml:space="preserve">Priority</t>
  </si>
  <si>
    <t xml:space="preserve">Start Date</t>
  </si>
  <si>
    <t xml:space="preserve">End Date</t>
  </si>
  <si>
    <t xml:space="preserve">Budget</t>
  </si>
  <si>
    <t xml:space="preserve">Spent</t>
  </si>
  <si>
    <t xml:space="preserve">Progress %</t>
  </si>
  <si>
    <t xml:space="preserve">PRJ001</t>
  </si>
  <si>
    <t xml:space="preserve">Website Redesign</t>
  </si>
  <si>
    <t xml:space="preserve">Sarah Chen</t>
  </si>
  <si>
    <t xml:space="preserve">In Progress</t>
  </si>
  <si>
    <t xml:space="preserve">High</t>
  </si>
  <si>
    <t xml:space="preserve">2024-01-15</t>
  </si>
  <si>
    <t xml:space="preserve">2024-06-30</t>
  </si>
  <si>
    <t xml:space="preserve">PRJ002</t>
  </si>
  <si>
    <t xml:space="preserve">Mobile App Development</t>
  </si>
  <si>
    <t xml:space="preserve">James Wilson</t>
  </si>
  <si>
    <t xml:space="preserve">Critical</t>
  </si>
  <si>
    <t xml:space="preserve">2024-02-01</t>
  </si>
  <si>
    <t xml:space="preserve">2024-08-31</t>
  </si>
  <si>
    <t xml:space="preserve">PRJ003</t>
  </si>
  <si>
    <t xml:space="preserve">CRM Implementation</t>
  </si>
  <si>
    <t xml:space="preserve">Maria Garcia</t>
  </si>
  <si>
    <t xml:space="preserve">Completed</t>
  </si>
  <si>
    <t xml:space="preserve">Medium</t>
  </si>
  <si>
    <t xml:space="preserve">2023-09-01</t>
  </si>
  <si>
    <t xml:space="preserve">2024-03-31</t>
  </si>
  <si>
    <t xml:space="preserve">PRJ004</t>
  </si>
  <si>
    <t xml:space="preserve">Data Migration</t>
  </si>
  <si>
    <t xml:space="preserve">David Kim</t>
  </si>
  <si>
    <t xml:space="preserve">2024-03-15</t>
  </si>
  <si>
    <t xml:space="preserve">2024-07-15</t>
  </si>
  <si>
    <t xml:space="preserve">PRJ005</t>
  </si>
  <si>
    <t xml:space="preserve">Marketing Campaign</t>
  </si>
  <si>
    <t xml:space="preserve">Emily Johnson</t>
  </si>
  <si>
    <t xml:space="preserve">Planning</t>
  </si>
  <si>
    <t xml:space="preserve">Low</t>
  </si>
  <si>
    <t xml:space="preserve">2024-05-01</t>
  </si>
  <si>
    <t xml:space="preserve">2024-09-30</t>
  </si>
  <si>
    <t xml:space="preserve">PRJ006</t>
  </si>
  <si>
    <t xml:space="preserve">Infrastructure Upgrade</t>
  </si>
  <si>
    <t xml:space="preserve">Michael Brown</t>
  </si>
  <si>
    <t xml:space="preserve">2024-01-01</t>
  </si>
  <si>
    <t xml:space="preserve">2024-05-31</t>
  </si>
  <si>
    <t xml:space="preserve">PRJ007</t>
  </si>
  <si>
    <t xml:space="preserve">Customer Portal</t>
  </si>
  <si>
    <t xml:space="preserve">Lisa Anderson</t>
  </si>
  <si>
    <t xml:space="preserve">At Risk</t>
  </si>
  <si>
    <t xml:space="preserve">2024-02-15</t>
  </si>
  <si>
    <t xml:space="preserve">2024-06-15</t>
  </si>
  <si>
    <t xml:space="preserve">PRJ008</t>
  </si>
  <si>
    <t xml:space="preserve">Analytics Dashboard</t>
  </si>
  <si>
    <t xml:space="preserve">Robert Lee</t>
  </si>
  <si>
    <t xml:space="preserve">2024-03-01</t>
  </si>
  <si>
    <t xml:space="preserve">2024-07-31</t>
  </si>
  <si>
    <t xml:space="preserve">PRJ009</t>
  </si>
  <si>
    <t xml:space="preserve">Security Audit</t>
  </si>
  <si>
    <t xml:space="preserve">Jennifer Taylor</t>
  </si>
  <si>
    <t xml:space="preserve">2023-11-01</t>
  </si>
  <si>
    <t xml:space="preserve">2024-02-28</t>
  </si>
  <si>
    <t xml:space="preserve">PRJ010</t>
  </si>
  <si>
    <t xml:space="preserve">Training Program</t>
  </si>
  <si>
    <t xml:space="preserve">Christopher Martinez</t>
  </si>
  <si>
    <t xml:space="preserve">2024-04-01</t>
  </si>
  <si>
    <t xml:space="preserve">2024-10-31</t>
  </si>
  <si>
    <t xml:space="preserve">PRJ011</t>
  </si>
  <si>
    <t xml:space="preserve">ERP Integration</t>
  </si>
  <si>
    <t xml:space="preserve">Amanda White</t>
  </si>
  <si>
    <t xml:space="preserve">2024-06-01</t>
  </si>
  <si>
    <t xml:space="preserve">2024-12-31</t>
  </si>
  <si>
    <t xml:space="preserve">PRJ012</t>
  </si>
  <si>
    <t xml:space="preserve">API Development</t>
  </si>
  <si>
    <t xml:space="preserve">Daniel Harris</t>
  </si>
  <si>
    <t xml:space="preserve">2024-02-20</t>
  </si>
  <si>
    <t xml:space="preserve">2024-08-20</t>
  </si>
  <si>
    <t xml:space="preserve">PRJ013</t>
  </si>
  <si>
    <t xml:space="preserve">Cloud Migration</t>
  </si>
  <si>
    <t xml:space="preserve">Michelle Clark</t>
  </si>
  <si>
    <t xml:space="preserve">2024-01-10</t>
  </si>
  <si>
    <t xml:space="preserve">PRJ014</t>
  </si>
  <si>
    <t xml:space="preserve">Mobile Optimization</t>
  </si>
  <si>
    <t xml:space="preserve">Thomas Rodriguez</t>
  </si>
  <si>
    <t xml:space="preserve">2023-10-15</t>
  </si>
  <si>
    <t xml:space="preserve">2024-01-31</t>
  </si>
  <si>
    <t xml:space="preserve">PRJ015</t>
  </si>
  <si>
    <t xml:space="preserve">Vendor Management System</t>
  </si>
  <si>
    <t xml:space="preserve">Jessica Lewis</t>
  </si>
  <si>
    <t xml:space="preserve">2024-03-10</t>
  </si>
  <si>
    <t xml:space="preserve">PROJECT TIMELINE</t>
  </si>
  <si>
    <t xml:space="preserve">Project ID</t>
  </si>
  <si>
    <t xml:space="preserve">Duration (Days)</t>
  </si>
  <si>
    <t xml:space="preserve">Days Remaining</t>
  </si>
  <si>
    <t xml:space="preserve">Progress</t>
  </si>
  <si>
    <t xml:space="preserve">BUDGET TRACKING</t>
  </si>
  <si>
    <t xml:space="preserve">Allocated Budget</t>
  </si>
  <si>
    <t xml:space="preserve">Remaining</t>
  </si>
  <si>
    <t xml:space="preserve">Utilization %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</si>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</sst>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FF66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1"/>
      <color rgb="FF0066CC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DEBF7"/>
      </patternFill>
    </fill>
    <fill>
      <patternFill patternType="solid">
        <fgColor rgb="FFF2F2F2"/>
        <bgColor rgb="FFE7E6E6"/>
      </patternFill>
    </fill>
    <fill>
      <patternFill patternType="solid">
        <fgColor rgb="FF4472C4"/>
        <bgColor rgb="FF666699"/>
      </patternFill>
    </fill>
    <fill>
      <patternFill patternType="solid">
        <fgColor rgb="FFFFEB9C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FFC7CE"/>
        <bgColor rgb="FFD3D3D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D3D3D3"/>
      </bottom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3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3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  <c r="B3" s="3" t="n">
        <f aca="false">COUNTA(Projects!B5:B24)</f>
        <v>15</v>
      </c>
      <c r="D3" s="2" t="s">
        <v>2</v>
      </c>
      <c r="E3" s="4" t="n">
        <f aca="false">SUM(Projects!G5:G24)</f>
        <v>0</v>
      </c>
    </row>
    <row r="4" customFormat="false" ht="17.35" hidden="false" customHeight="false" outlineLevel="0" collapsed="false">
      <c r="A4" s="2" t="s">
        <v>3</v>
      </c>
      <c r="B4" s="3" t="n">
        <f aca="false">COUNTIF(Projects!D5:D24,"In Progress")</f>
        <v>8</v>
      </c>
      <c r="D4" s="2" t="s">
        <v>4</v>
      </c>
      <c r="E4" s="4" t="n">
        <f aca="false">SUM(Projects!H5:H24)</f>
        <v>2365000</v>
      </c>
    </row>
    <row r="5" customFormat="false" ht="17.35" hidden="false" customHeight="false" outlineLevel="0" collapsed="false">
      <c r="A5" s="2" t="s">
        <v>5</v>
      </c>
      <c r="B5" s="3" t="n">
        <f aca="false">COUNTIF(Projects!D5:D24,"Completed")</f>
        <v>3</v>
      </c>
      <c r="D5" s="2" t="s">
        <v>6</v>
      </c>
      <c r="E5" s="4" t="n">
        <f aca="false">E3-E4</f>
        <v>-2365000</v>
      </c>
    </row>
    <row r="6" customFormat="false" ht="17.35" hidden="false" customHeight="false" outlineLevel="0" collapsed="false">
      <c r="A6" s="2" t="s">
        <v>7</v>
      </c>
      <c r="B6" s="3" t="n">
        <f aca="false">COUNTIF(Projects!D5:D24,"At Risk")</f>
        <v>2</v>
      </c>
      <c r="D6" s="2" t="s">
        <v>8</v>
      </c>
      <c r="E6" s="5" t="n">
        <f aca="false">IF(E3&gt;0,E4/E3,0)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7" min="5" style="0" width="12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6" t="s">
        <v>9</v>
      </c>
      <c r="B1" s="6"/>
      <c r="C1" s="6"/>
      <c r="D1" s="6"/>
      <c r="E1" s="6"/>
      <c r="F1" s="6"/>
      <c r="G1" s="6"/>
      <c r="H1" s="6"/>
      <c r="I1" s="6"/>
      <c r="J1" s="6"/>
    </row>
    <row r="3" customFormat="false" ht="24.75" hidden="false" customHeight="true" outlineLevel="0" collapsed="false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</row>
    <row r="5" customFormat="false" ht="15" hidden="false" customHeight="false" outlineLevel="0" collapsed="false">
      <c r="A5" s="8" t="s">
        <v>20</v>
      </c>
      <c r="B5" s="9" t="s">
        <v>21</v>
      </c>
      <c r="C5" s="9" t="s">
        <v>22</v>
      </c>
      <c r="D5" s="10" t="s">
        <v>23</v>
      </c>
      <c r="E5" s="11" t="s">
        <v>24</v>
      </c>
      <c r="F5" s="9" t="s">
        <v>25</v>
      </c>
      <c r="G5" s="9" t="s">
        <v>26</v>
      </c>
      <c r="H5" s="12" t="n">
        <v>150000</v>
      </c>
      <c r="I5" s="12" t="n">
        <v>89000</v>
      </c>
      <c r="J5" s="13" t="n">
        <v>0.65</v>
      </c>
    </row>
    <row r="6" customFormat="false" ht="15" hidden="false" customHeight="false" outlineLevel="0" collapsed="false">
      <c r="A6" s="8" t="s">
        <v>27</v>
      </c>
      <c r="B6" s="9" t="s">
        <v>28</v>
      </c>
      <c r="C6" s="9" t="s">
        <v>29</v>
      </c>
      <c r="D6" s="10" t="s">
        <v>23</v>
      </c>
      <c r="E6" s="14" t="s">
        <v>30</v>
      </c>
      <c r="F6" s="9" t="s">
        <v>31</v>
      </c>
      <c r="G6" s="9" t="s">
        <v>32</v>
      </c>
      <c r="H6" s="12" t="n">
        <v>250000</v>
      </c>
      <c r="I6" s="12" t="n">
        <v>125000</v>
      </c>
      <c r="J6" s="13" t="n">
        <v>0.55</v>
      </c>
    </row>
    <row r="7" customFormat="false" ht="15" hidden="false" customHeight="false" outlineLevel="0" collapsed="false">
      <c r="A7" s="8" t="s">
        <v>33</v>
      </c>
      <c r="B7" s="9" t="s">
        <v>34</v>
      </c>
      <c r="C7" s="9" t="s">
        <v>35</v>
      </c>
      <c r="D7" s="15" t="s">
        <v>36</v>
      </c>
      <c r="E7" s="16" t="s">
        <v>37</v>
      </c>
      <c r="F7" s="9" t="s">
        <v>38</v>
      </c>
      <c r="G7" s="9" t="s">
        <v>39</v>
      </c>
      <c r="H7" s="12" t="n">
        <v>180000</v>
      </c>
      <c r="I7" s="12" t="n">
        <v>175000</v>
      </c>
      <c r="J7" s="13" t="n">
        <v>1</v>
      </c>
    </row>
    <row r="8" customFormat="false" ht="15" hidden="false" customHeight="false" outlineLevel="0" collapsed="false">
      <c r="A8" s="8" t="s">
        <v>40</v>
      </c>
      <c r="B8" s="9" t="s">
        <v>41</v>
      </c>
      <c r="C8" s="9" t="s">
        <v>42</v>
      </c>
      <c r="D8" s="10" t="s">
        <v>23</v>
      </c>
      <c r="E8" s="11" t="s">
        <v>24</v>
      </c>
      <c r="F8" s="9" t="s">
        <v>43</v>
      </c>
      <c r="G8" s="9" t="s">
        <v>44</v>
      </c>
      <c r="H8" s="12" t="n">
        <v>95000</v>
      </c>
      <c r="I8" s="12" t="n">
        <v>58000</v>
      </c>
      <c r="J8" s="13" t="n">
        <v>0.7</v>
      </c>
    </row>
    <row r="9" customFormat="false" ht="15" hidden="false" customHeight="false" outlineLevel="0" collapsed="false">
      <c r="A9" s="8" t="s">
        <v>45</v>
      </c>
      <c r="B9" s="9" t="s">
        <v>46</v>
      </c>
      <c r="C9" s="9" t="s">
        <v>47</v>
      </c>
      <c r="D9" s="17" t="s">
        <v>48</v>
      </c>
      <c r="E9" s="18" t="s">
        <v>49</v>
      </c>
      <c r="F9" s="9" t="s">
        <v>50</v>
      </c>
      <c r="G9" s="9" t="s">
        <v>51</v>
      </c>
      <c r="H9" s="12" t="n">
        <v>75000</v>
      </c>
      <c r="I9" s="12" t="n">
        <v>5000</v>
      </c>
      <c r="J9" s="13" t="n">
        <v>0.1</v>
      </c>
    </row>
    <row r="10" customFormat="false" ht="15" hidden="false" customHeight="false" outlineLevel="0" collapsed="false">
      <c r="A10" s="8" t="s">
        <v>52</v>
      </c>
      <c r="B10" s="9" t="s">
        <v>53</v>
      </c>
      <c r="C10" s="9" t="s">
        <v>54</v>
      </c>
      <c r="D10" s="10" t="s">
        <v>23</v>
      </c>
      <c r="E10" s="14" t="s">
        <v>30</v>
      </c>
      <c r="F10" s="9" t="s">
        <v>55</v>
      </c>
      <c r="G10" s="9" t="s">
        <v>56</v>
      </c>
      <c r="H10" s="12" t="n">
        <v>320000</v>
      </c>
      <c r="I10" s="12" t="n">
        <v>245000</v>
      </c>
      <c r="J10" s="13" t="n">
        <v>0.8</v>
      </c>
    </row>
    <row r="11" customFormat="false" ht="15" hidden="false" customHeight="false" outlineLevel="0" collapsed="false">
      <c r="A11" s="8" t="s">
        <v>57</v>
      </c>
      <c r="B11" s="9" t="s">
        <v>58</v>
      </c>
      <c r="C11" s="9" t="s">
        <v>59</v>
      </c>
      <c r="D11" s="19" t="s">
        <v>60</v>
      </c>
      <c r="E11" s="11" t="s">
        <v>24</v>
      </c>
      <c r="F11" s="9" t="s">
        <v>61</v>
      </c>
      <c r="G11" s="9" t="s">
        <v>62</v>
      </c>
      <c r="H11" s="12" t="n">
        <v>125000</v>
      </c>
      <c r="I11" s="12" t="n">
        <v>95000</v>
      </c>
      <c r="J11" s="13" t="n">
        <v>0.6</v>
      </c>
    </row>
    <row r="12" customFormat="false" ht="15" hidden="false" customHeight="false" outlineLevel="0" collapsed="false">
      <c r="A12" s="8" t="s">
        <v>63</v>
      </c>
      <c r="B12" s="9" t="s">
        <v>64</v>
      </c>
      <c r="C12" s="9" t="s">
        <v>65</v>
      </c>
      <c r="D12" s="10" t="s">
        <v>23</v>
      </c>
      <c r="E12" s="16" t="s">
        <v>37</v>
      </c>
      <c r="F12" s="9" t="s">
        <v>66</v>
      </c>
      <c r="G12" s="9" t="s">
        <v>67</v>
      </c>
      <c r="H12" s="12" t="n">
        <v>88000</v>
      </c>
      <c r="I12" s="12" t="n">
        <v>42000</v>
      </c>
      <c r="J12" s="13" t="n">
        <v>0.5</v>
      </c>
    </row>
    <row r="13" customFormat="false" ht="15" hidden="false" customHeight="false" outlineLevel="0" collapsed="false">
      <c r="A13" s="8" t="s">
        <v>68</v>
      </c>
      <c r="B13" s="9" t="s">
        <v>69</v>
      </c>
      <c r="C13" s="9" t="s">
        <v>70</v>
      </c>
      <c r="D13" s="15" t="s">
        <v>36</v>
      </c>
      <c r="E13" s="14" t="s">
        <v>30</v>
      </c>
      <c r="F13" s="9" t="s">
        <v>71</v>
      </c>
      <c r="G13" s="9" t="s">
        <v>72</v>
      </c>
      <c r="H13" s="12" t="n">
        <v>65000</v>
      </c>
      <c r="I13" s="12" t="n">
        <v>63000</v>
      </c>
      <c r="J13" s="13" t="n">
        <v>1</v>
      </c>
    </row>
    <row r="14" customFormat="false" ht="15" hidden="false" customHeight="false" outlineLevel="0" collapsed="false">
      <c r="A14" s="8" t="s">
        <v>73</v>
      </c>
      <c r="B14" s="9" t="s">
        <v>74</v>
      </c>
      <c r="C14" s="9" t="s">
        <v>75</v>
      </c>
      <c r="D14" s="10" t="s">
        <v>23</v>
      </c>
      <c r="E14" s="18" t="s">
        <v>49</v>
      </c>
      <c r="F14" s="9" t="s">
        <v>76</v>
      </c>
      <c r="G14" s="9" t="s">
        <v>77</v>
      </c>
      <c r="H14" s="12" t="n">
        <v>45000</v>
      </c>
      <c r="I14" s="12" t="n">
        <v>12000</v>
      </c>
      <c r="J14" s="13" t="n">
        <v>0.3</v>
      </c>
    </row>
    <row r="15" customFormat="false" ht="15" hidden="false" customHeight="false" outlineLevel="0" collapsed="false">
      <c r="A15" s="8" t="s">
        <v>78</v>
      </c>
      <c r="B15" s="9" t="s">
        <v>79</v>
      </c>
      <c r="C15" s="9" t="s">
        <v>80</v>
      </c>
      <c r="D15" s="17" t="s">
        <v>48</v>
      </c>
      <c r="E15" s="11" t="s">
        <v>24</v>
      </c>
      <c r="F15" s="9" t="s">
        <v>81</v>
      </c>
      <c r="G15" s="9" t="s">
        <v>82</v>
      </c>
      <c r="H15" s="12" t="n">
        <v>280000</v>
      </c>
      <c r="I15" s="12" t="n">
        <v>15000</v>
      </c>
      <c r="J15" s="13" t="n">
        <v>0.05</v>
      </c>
    </row>
    <row r="16" customFormat="false" ht="15" hidden="false" customHeight="false" outlineLevel="0" collapsed="false">
      <c r="A16" s="8" t="s">
        <v>83</v>
      </c>
      <c r="B16" s="9" t="s">
        <v>84</v>
      </c>
      <c r="C16" s="9" t="s">
        <v>85</v>
      </c>
      <c r="D16" s="10" t="s">
        <v>23</v>
      </c>
      <c r="E16" s="16" t="s">
        <v>37</v>
      </c>
      <c r="F16" s="9" t="s">
        <v>86</v>
      </c>
      <c r="G16" s="9" t="s">
        <v>87</v>
      </c>
      <c r="H16" s="12" t="n">
        <v>110000</v>
      </c>
      <c r="I16" s="12" t="n">
        <v>67000</v>
      </c>
      <c r="J16" s="13" t="n">
        <v>0.62</v>
      </c>
    </row>
    <row r="17" customFormat="false" ht="15" hidden="false" customHeight="false" outlineLevel="0" collapsed="false">
      <c r="A17" s="8" t="s">
        <v>88</v>
      </c>
      <c r="B17" s="9" t="s">
        <v>89</v>
      </c>
      <c r="C17" s="9" t="s">
        <v>90</v>
      </c>
      <c r="D17" s="10" t="s">
        <v>23</v>
      </c>
      <c r="E17" s="14" t="s">
        <v>30</v>
      </c>
      <c r="F17" s="9" t="s">
        <v>91</v>
      </c>
      <c r="G17" s="9" t="s">
        <v>26</v>
      </c>
      <c r="H17" s="12" t="n">
        <v>395000</v>
      </c>
      <c r="I17" s="12" t="n">
        <v>285000</v>
      </c>
      <c r="J17" s="13" t="n">
        <v>0.75</v>
      </c>
    </row>
    <row r="18" customFormat="false" ht="15" hidden="false" customHeight="false" outlineLevel="0" collapsed="false">
      <c r="A18" s="8" t="s">
        <v>92</v>
      </c>
      <c r="B18" s="9" t="s">
        <v>93</v>
      </c>
      <c r="C18" s="9" t="s">
        <v>94</v>
      </c>
      <c r="D18" s="15" t="s">
        <v>36</v>
      </c>
      <c r="E18" s="18" t="s">
        <v>49</v>
      </c>
      <c r="F18" s="9" t="s">
        <v>95</v>
      </c>
      <c r="G18" s="9" t="s">
        <v>96</v>
      </c>
      <c r="H18" s="12" t="n">
        <v>52000</v>
      </c>
      <c r="I18" s="12" t="n">
        <v>51000</v>
      </c>
      <c r="J18" s="13" t="n">
        <v>1</v>
      </c>
    </row>
    <row r="19" customFormat="false" ht="15" hidden="false" customHeight="false" outlineLevel="0" collapsed="false">
      <c r="A19" s="8" t="s">
        <v>97</v>
      </c>
      <c r="B19" s="9" t="s">
        <v>98</v>
      </c>
      <c r="C19" s="9" t="s">
        <v>99</v>
      </c>
      <c r="D19" s="19" t="s">
        <v>60</v>
      </c>
      <c r="E19" s="16" t="s">
        <v>37</v>
      </c>
      <c r="F19" s="9" t="s">
        <v>100</v>
      </c>
      <c r="G19" s="9" t="s">
        <v>67</v>
      </c>
      <c r="H19" s="12" t="n">
        <v>135000</v>
      </c>
      <c r="I19" s="12" t="n">
        <v>108000</v>
      </c>
      <c r="J19" s="13" t="n">
        <v>0.68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4" min="3" style="0" width="12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30" hidden="false" customHeight="true" outlineLevel="0" collapsed="false">
      <c r="A1" s="6" t="s">
        <v>101</v>
      </c>
      <c r="B1" s="6"/>
      <c r="C1" s="6"/>
      <c r="D1" s="6"/>
      <c r="E1" s="6"/>
      <c r="F1" s="6"/>
      <c r="G1" s="6"/>
      <c r="H1" s="6"/>
    </row>
    <row r="3" customFormat="false" ht="24.75" hidden="false" customHeight="true" outlineLevel="0" collapsed="false">
      <c r="A3" s="20" t="s">
        <v>102</v>
      </c>
      <c r="B3" s="20" t="s">
        <v>11</v>
      </c>
      <c r="C3" s="20" t="s">
        <v>15</v>
      </c>
      <c r="D3" s="20" t="s">
        <v>16</v>
      </c>
      <c r="E3" s="20" t="s">
        <v>103</v>
      </c>
      <c r="F3" s="20" t="s">
        <v>13</v>
      </c>
      <c r="G3" s="20" t="s">
        <v>104</v>
      </c>
      <c r="H3" s="20" t="s">
        <v>105</v>
      </c>
    </row>
    <row r="5" customFormat="false" ht="15" hidden="false" customHeight="false" outlineLevel="0" collapsed="false">
      <c r="A5" s="8" t="str">
        <f aca="false">Projects!A5</f>
        <v>PRJ001</v>
      </c>
      <c r="B5" s="8" t="str">
        <f aca="false">Projects!B5</f>
        <v>Website Redesign</v>
      </c>
      <c r="C5" s="8" t="str">
        <f aca="false">Projects!F5</f>
        <v>2024-01-15</v>
      </c>
      <c r="D5" s="8" t="str">
        <f aca="false">Projects!G5</f>
        <v>2024-06-30</v>
      </c>
      <c r="E5" s="8" t="n">
        <f aca="false">IF(D5&lt;&gt;"",D5-C5,"")</f>
        <v>167</v>
      </c>
      <c r="F5" s="8" t="str">
        <f aca="false">Projects!D5</f>
        <v>In Progress</v>
      </c>
      <c r="G5" s="8" t="n">
        <f aca="true">IF(AND(D5&lt;&gt;"",F5&lt;&gt;"Completed"),D5-TODAY(),"")</f>
        <v>-648</v>
      </c>
      <c r="H5" s="13" t="n">
        <f aca="false">Projects!J5</f>
        <v>0.65</v>
      </c>
    </row>
    <row r="6" customFormat="false" ht="15" hidden="false" customHeight="false" outlineLevel="0" collapsed="false">
      <c r="A6" s="8" t="str">
        <f aca="false">Projects!A6</f>
        <v>PRJ002</v>
      </c>
      <c r="B6" s="8" t="str">
        <f aca="false">Projects!B6</f>
        <v>Mobile App Development</v>
      </c>
      <c r="C6" s="8" t="str">
        <f aca="false">Projects!F6</f>
        <v>2024-02-01</v>
      </c>
      <c r="D6" s="8" t="str">
        <f aca="false">Projects!G6</f>
        <v>2024-08-31</v>
      </c>
      <c r="E6" s="8" t="n">
        <f aca="false">IF(D6&lt;&gt;"",D6-C6,"")</f>
        <v>212</v>
      </c>
      <c r="F6" s="8" t="str">
        <f aca="false">Projects!D6</f>
        <v>In Progress</v>
      </c>
      <c r="G6" s="8" t="n">
        <f aca="true">IF(AND(D6&lt;&gt;"",F6&lt;&gt;"Completed"),D6-TODAY(),"")</f>
        <v>-586</v>
      </c>
      <c r="H6" s="13" t="n">
        <f aca="false">Projects!J6</f>
        <v>0.55</v>
      </c>
    </row>
    <row r="7" customFormat="false" ht="15" hidden="false" customHeight="false" outlineLevel="0" collapsed="false">
      <c r="A7" s="8" t="str">
        <f aca="false">Projects!A7</f>
        <v>PRJ003</v>
      </c>
      <c r="B7" s="8" t="str">
        <f aca="false">Projects!B7</f>
        <v>CRM Implementation</v>
      </c>
      <c r="C7" s="8" t="str">
        <f aca="false">Projects!F7</f>
        <v>2023-09-01</v>
      </c>
      <c r="D7" s="8" t="str">
        <f aca="false">Projects!G7</f>
        <v>2024-03-31</v>
      </c>
      <c r="E7" s="8" t="n">
        <f aca="false">IF(D7&lt;&gt;"",D7-C7,"")</f>
        <v>212</v>
      </c>
      <c r="F7" s="8" t="str">
        <f aca="false">Projects!D7</f>
        <v>Completed</v>
      </c>
      <c r="G7" s="8" t="str">
        <f aca="true">IF(AND(D7&lt;&gt;"",F7&lt;&gt;"Completed"),D7-TODAY(),"")</f>
        <v/>
      </c>
      <c r="H7" s="13" t="n">
        <f aca="false">Projects!J7</f>
        <v>1</v>
      </c>
    </row>
    <row r="8" customFormat="false" ht="15" hidden="false" customHeight="false" outlineLevel="0" collapsed="false">
      <c r="A8" s="8" t="str">
        <f aca="false">Projects!A8</f>
        <v>PRJ004</v>
      </c>
      <c r="B8" s="8" t="str">
        <f aca="false">Projects!B8</f>
        <v>Data Migration</v>
      </c>
      <c r="C8" s="8" t="str">
        <f aca="false">Projects!F8</f>
        <v>2024-03-15</v>
      </c>
      <c r="D8" s="8" t="str">
        <f aca="false">Projects!G8</f>
        <v>2024-07-15</v>
      </c>
      <c r="E8" s="8" t="n">
        <f aca="false">IF(D8&lt;&gt;"",D8-C8,"")</f>
        <v>122</v>
      </c>
      <c r="F8" s="8" t="str">
        <f aca="false">Projects!D8</f>
        <v>In Progress</v>
      </c>
      <c r="G8" s="8" t="n">
        <f aca="true">IF(AND(D8&lt;&gt;"",F8&lt;&gt;"Completed"),D8-TODAY(),"")</f>
        <v>-633</v>
      </c>
      <c r="H8" s="13" t="n">
        <f aca="false">Projects!J8</f>
        <v>0.7</v>
      </c>
    </row>
    <row r="9" customFormat="false" ht="15" hidden="false" customHeight="false" outlineLevel="0" collapsed="false">
      <c r="A9" s="8" t="str">
        <f aca="false">Projects!A9</f>
        <v>PRJ005</v>
      </c>
      <c r="B9" s="8" t="str">
        <f aca="false">Projects!B9</f>
        <v>Marketing Campaign</v>
      </c>
      <c r="C9" s="8" t="str">
        <f aca="false">Projects!F9</f>
        <v>2024-05-01</v>
      </c>
      <c r="D9" s="8" t="str">
        <f aca="false">Projects!G9</f>
        <v>2024-09-30</v>
      </c>
      <c r="E9" s="8" t="n">
        <f aca="false">IF(D9&lt;&gt;"",D9-C9,"")</f>
        <v>152</v>
      </c>
      <c r="F9" s="8" t="str">
        <f aca="false">Projects!D9</f>
        <v>Planning</v>
      </c>
      <c r="G9" s="8" t="n">
        <f aca="true">IF(AND(D9&lt;&gt;"",F9&lt;&gt;"Completed"),D9-TODAY(),"")</f>
        <v>-556</v>
      </c>
      <c r="H9" s="13" t="n">
        <f aca="false">Projects!J9</f>
        <v>0.1</v>
      </c>
    </row>
    <row r="10" customFormat="false" ht="15" hidden="false" customHeight="false" outlineLevel="0" collapsed="false">
      <c r="A10" s="8" t="str">
        <f aca="false">Projects!A10</f>
        <v>PRJ006</v>
      </c>
      <c r="B10" s="8" t="str">
        <f aca="false">Projects!B10</f>
        <v>Infrastructure Upgrade</v>
      </c>
      <c r="C10" s="8" t="str">
        <f aca="false">Projects!F10</f>
        <v>2024-01-01</v>
      </c>
      <c r="D10" s="8" t="str">
        <f aca="false">Projects!G10</f>
        <v>2024-05-31</v>
      </c>
      <c r="E10" s="8" t="n">
        <f aca="false">IF(D10&lt;&gt;"",D10-C10,"")</f>
        <v>151</v>
      </c>
      <c r="F10" s="8" t="str">
        <f aca="false">Projects!D10</f>
        <v>In Progress</v>
      </c>
      <c r="G10" s="8" t="n">
        <f aca="true">IF(AND(D10&lt;&gt;"",F10&lt;&gt;"Completed"),D10-TODAY(),"")</f>
        <v>-678</v>
      </c>
      <c r="H10" s="13" t="n">
        <f aca="false">Projects!J10</f>
        <v>0.8</v>
      </c>
    </row>
    <row r="11" customFormat="false" ht="15" hidden="false" customHeight="false" outlineLevel="0" collapsed="false">
      <c r="A11" s="8" t="str">
        <f aca="false">Projects!A11</f>
        <v>PRJ007</v>
      </c>
      <c r="B11" s="8" t="str">
        <f aca="false">Projects!B11</f>
        <v>Customer Portal</v>
      </c>
      <c r="C11" s="8" t="str">
        <f aca="false">Projects!F11</f>
        <v>2024-02-15</v>
      </c>
      <c r="D11" s="8" t="str">
        <f aca="false">Projects!G11</f>
        <v>2024-06-15</v>
      </c>
      <c r="E11" s="8" t="n">
        <f aca="false">IF(D11&lt;&gt;"",D11-C11,"")</f>
        <v>121</v>
      </c>
      <c r="F11" s="8" t="str">
        <f aca="false">Projects!D11</f>
        <v>At Risk</v>
      </c>
      <c r="G11" s="8" t="n">
        <f aca="true">IF(AND(D11&lt;&gt;"",F11&lt;&gt;"Completed"),D11-TODAY(),"")</f>
        <v>-663</v>
      </c>
      <c r="H11" s="13" t="n">
        <f aca="false">Projects!J11</f>
        <v>0.6</v>
      </c>
    </row>
    <row r="12" customFormat="false" ht="15" hidden="false" customHeight="false" outlineLevel="0" collapsed="false">
      <c r="A12" s="8" t="str">
        <f aca="false">Projects!A12</f>
        <v>PRJ008</v>
      </c>
      <c r="B12" s="8" t="str">
        <f aca="false">Projects!B12</f>
        <v>Analytics Dashboard</v>
      </c>
      <c r="C12" s="8" t="str">
        <f aca="false">Projects!F12</f>
        <v>2024-03-01</v>
      </c>
      <c r="D12" s="8" t="str">
        <f aca="false">Projects!G12</f>
        <v>2024-07-31</v>
      </c>
      <c r="E12" s="8" t="n">
        <f aca="false">IF(D12&lt;&gt;"",D12-C12,"")</f>
        <v>152</v>
      </c>
      <c r="F12" s="8" t="str">
        <f aca="false">Projects!D12</f>
        <v>In Progress</v>
      </c>
      <c r="G12" s="8" t="n">
        <f aca="true">IF(AND(D12&lt;&gt;"",F12&lt;&gt;"Completed"),D12-TODAY(),"")</f>
        <v>-617</v>
      </c>
      <c r="H12" s="13" t="n">
        <f aca="false">Projects!J12</f>
        <v>0.5</v>
      </c>
    </row>
    <row r="13" customFormat="false" ht="15" hidden="false" customHeight="false" outlineLevel="0" collapsed="false">
      <c r="A13" s="8" t="str">
        <f aca="false">Projects!A13</f>
        <v>PRJ009</v>
      </c>
      <c r="B13" s="8" t="str">
        <f aca="false">Projects!B13</f>
        <v>Security Audit</v>
      </c>
      <c r="C13" s="8" t="str">
        <f aca="false">Projects!F13</f>
        <v>2023-11-01</v>
      </c>
      <c r="D13" s="8" t="str">
        <f aca="false">Projects!G13</f>
        <v>2024-02-28</v>
      </c>
      <c r="E13" s="8" t="n">
        <f aca="false">IF(D13&lt;&gt;"",D13-C13,"")</f>
        <v>119</v>
      </c>
      <c r="F13" s="8" t="str">
        <f aca="false">Projects!D13</f>
        <v>Completed</v>
      </c>
      <c r="G13" s="8" t="str">
        <f aca="true">IF(AND(D13&lt;&gt;"",F13&lt;&gt;"Completed"),D13-TODAY(),"")</f>
        <v/>
      </c>
      <c r="H13" s="13" t="n">
        <f aca="false">Projects!J13</f>
        <v>1</v>
      </c>
    </row>
    <row r="14" customFormat="false" ht="15" hidden="false" customHeight="false" outlineLevel="0" collapsed="false">
      <c r="A14" s="8" t="str">
        <f aca="false">Projects!A14</f>
        <v>PRJ010</v>
      </c>
      <c r="B14" s="8" t="str">
        <f aca="false">Projects!B14</f>
        <v>Training Program</v>
      </c>
      <c r="C14" s="8" t="str">
        <f aca="false">Projects!F14</f>
        <v>2024-04-01</v>
      </c>
      <c r="D14" s="8" t="str">
        <f aca="false">Projects!G14</f>
        <v>2024-10-31</v>
      </c>
      <c r="E14" s="8" t="n">
        <f aca="false">IF(D14&lt;&gt;"",D14-C14,"")</f>
        <v>213</v>
      </c>
      <c r="F14" s="8" t="str">
        <f aca="false">Projects!D14</f>
        <v>In Progress</v>
      </c>
      <c r="G14" s="8" t="n">
        <f aca="true">IF(AND(D14&lt;&gt;"",F14&lt;&gt;"Completed"),D14-TODAY(),"")</f>
        <v>-525</v>
      </c>
      <c r="H14" s="13" t="n">
        <f aca="false">Projects!J14</f>
        <v>0.3</v>
      </c>
    </row>
    <row r="15" customFormat="false" ht="15" hidden="false" customHeight="false" outlineLevel="0" collapsed="false">
      <c r="A15" s="8" t="str">
        <f aca="false">Projects!A15</f>
        <v>PRJ011</v>
      </c>
      <c r="B15" s="8" t="str">
        <f aca="false">Projects!B15</f>
        <v>ERP Integration</v>
      </c>
      <c r="C15" s="8" t="str">
        <f aca="false">Projects!F15</f>
        <v>2024-06-01</v>
      </c>
      <c r="D15" s="8" t="str">
        <f aca="false">Projects!G15</f>
        <v>2024-12-31</v>
      </c>
      <c r="E15" s="8" t="n">
        <f aca="false">IF(D15&lt;&gt;"",D15-C15,"")</f>
        <v>213</v>
      </c>
      <c r="F15" s="8" t="str">
        <f aca="false">Projects!D15</f>
        <v>Planning</v>
      </c>
      <c r="G15" s="8" t="n">
        <f aca="true">IF(AND(D15&lt;&gt;"",F15&lt;&gt;"Completed"),D15-TODAY(),"")</f>
        <v>-464</v>
      </c>
      <c r="H15" s="13" t="n">
        <f aca="false">Projects!J15</f>
        <v>0.05</v>
      </c>
    </row>
    <row r="16" customFormat="false" ht="15" hidden="false" customHeight="false" outlineLevel="0" collapsed="false">
      <c r="A16" s="8" t="str">
        <f aca="false">Projects!A16</f>
        <v>PRJ012</v>
      </c>
      <c r="B16" s="8" t="str">
        <f aca="false">Projects!B16</f>
        <v>API Development</v>
      </c>
      <c r="C16" s="8" t="str">
        <f aca="false">Projects!F16</f>
        <v>2024-02-20</v>
      </c>
      <c r="D16" s="8" t="str">
        <f aca="false">Projects!G16</f>
        <v>2024-08-20</v>
      </c>
      <c r="E16" s="8" t="n">
        <f aca="false">IF(D16&lt;&gt;"",D16-C16,"")</f>
        <v>182</v>
      </c>
      <c r="F16" s="8" t="str">
        <f aca="false">Projects!D16</f>
        <v>In Progress</v>
      </c>
      <c r="G16" s="8" t="n">
        <f aca="true">IF(AND(D16&lt;&gt;"",F16&lt;&gt;"Completed"),D16-TODAY(),"")</f>
        <v>-597</v>
      </c>
      <c r="H16" s="13" t="n">
        <f aca="false">Projects!J16</f>
        <v>0.62</v>
      </c>
    </row>
    <row r="17" customFormat="false" ht="15" hidden="false" customHeight="false" outlineLevel="0" collapsed="false">
      <c r="A17" s="8" t="str">
        <f aca="false">Projects!A17</f>
        <v>PRJ013</v>
      </c>
      <c r="B17" s="8" t="str">
        <f aca="false">Projects!B17</f>
        <v>Cloud Migration</v>
      </c>
      <c r="C17" s="8" t="str">
        <f aca="false">Projects!F17</f>
        <v>2024-01-10</v>
      </c>
      <c r="D17" s="8" t="str">
        <f aca="false">Projects!G17</f>
        <v>2024-06-30</v>
      </c>
      <c r="E17" s="8" t="n">
        <f aca="false">IF(D17&lt;&gt;"",D17-C17,"")</f>
        <v>172</v>
      </c>
      <c r="F17" s="8" t="str">
        <f aca="false">Projects!D17</f>
        <v>In Progress</v>
      </c>
      <c r="G17" s="8" t="n">
        <f aca="true">IF(AND(D17&lt;&gt;"",F17&lt;&gt;"Completed"),D17-TODAY(),"")</f>
        <v>-648</v>
      </c>
      <c r="H17" s="13" t="n">
        <f aca="false">Projects!J17</f>
        <v>0.75</v>
      </c>
    </row>
    <row r="18" customFormat="false" ht="15" hidden="false" customHeight="false" outlineLevel="0" collapsed="false">
      <c r="A18" s="8" t="str">
        <f aca="false">Projects!A18</f>
        <v>PRJ014</v>
      </c>
      <c r="B18" s="8" t="str">
        <f aca="false">Projects!B18</f>
        <v>Mobile Optimization</v>
      </c>
      <c r="C18" s="8" t="str">
        <f aca="false">Projects!F18</f>
        <v>2023-10-15</v>
      </c>
      <c r="D18" s="8" t="str">
        <f aca="false">Projects!G18</f>
        <v>2024-01-31</v>
      </c>
      <c r="E18" s="8" t="n">
        <f aca="false">IF(D18&lt;&gt;"",D18-C18,"")</f>
        <v>108</v>
      </c>
      <c r="F18" s="8" t="str">
        <f aca="false">Projects!D18</f>
        <v>Completed</v>
      </c>
      <c r="G18" s="8" t="str">
        <f aca="true">IF(AND(D18&lt;&gt;"",F18&lt;&gt;"Completed"),D18-TODAY(),"")</f>
        <v/>
      </c>
      <c r="H18" s="13" t="n">
        <f aca="false">Projects!J18</f>
        <v>1</v>
      </c>
    </row>
    <row r="19" customFormat="false" ht="15" hidden="false" customHeight="false" outlineLevel="0" collapsed="false">
      <c r="A19" s="8" t="str">
        <f aca="false">Projects!A19</f>
        <v>PRJ015</v>
      </c>
      <c r="B19" s="8" t="str">
        <f aca="false">Projects!B19</f>
        <v>Vendor Management System</v>
      </c>
      <c r="C19" s="8" t="str">
        <f aca="false">Projects!F19</f>
        <v>2024-03-10</v>
      </c>
      <c r="D19" s="8" t="str">
        <f aca="false">Projects!G19</f>
        <v>2024-07-31</v>
      </c>
      <c r="E19" s="8" t="n">
        <f aca="false">IF(D19&lt;&gt;"",D19-C19,"")</f>
        <v>143</v>
      </c>
      <c r="F19" s="8" t="str">
        <f aca="false">Projects!D19</f>
        <v>At Risk</v>
      </c>
      <c r="G19" s="8" t="n">
        <f aca="true">IF(AND(D19&lt;&gt;"",F19&lt;&gt;"Completed"),D19-TODAY(),"")</f>
        <v>-617</v>
      </c>
      <c r="H19" s="13" t="n">
        <f aca="false">Projects!J19</f>
        <v>0.68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30" hidden="false" customHeight="true" outlineLevel="0" collapsed="false">
      <c r="A1" s="6" t="s">
        <v>106</v>
      </c>
      <c r="B1" s="6"/>
      <c r="C1" s="6"/>
      <c r="D1" s="6"/>
      <c r="E1" s="6"/>
      <c r="F1" s="6"/>
      <c r="G1" s="6"/>
    </row>
    <row r="3" customFormat="false" ht="24.75" hidden="false" customHeight="true" outlineLevel="0" collapsed="false">
      <c r="A3" s="20" t="s">
        <v>102</v>
      </c>
      <c r="B3" s="20" t="s">
        <v>11</v>
      </c>
      <c r="C3" s="20" t="s">
        <v>107</v>
      </c>
      <c r="D3" s="20" t="s">
        <v>18</v>
      </c>
      <c r="E3" s="20" t="s">
        <v>108</v>
      </c>
      <c r="F3" s="20" t="s">
        <v>109</v>
      </c>
      <c r="G3" s="20" t="s">
        <v>13</v>
      </c>
    </row>
    <row r="5" customFormat="false" ht="15" hidden="false" customHeight="false" outlineLevel="0" collapsed="false">
      <c r="A5" s="8" t="str">
        <f aca="false">Projects!A5</f>
        <v>PRJ001</v>
      </c>
      <c r="B5" s="8" t="str">
        <f aca="false">Projects!B5</f>
        <v>Website Redesign</v>
      </c>
      <c r="C5" s="21" t="n">
        <f aca="false">Projects!H5</f>
        <v>150000</v>
      </c>
      <c r="D5" s="21" t="n">
        <f aca="false">Projects!I5</f>
        <v>89000</v>
      </c>
      <c r="E5" s="21" t="n">
        <f aca="false">C5-D5</f>
        <v>61000</v>
      </c>
      <c r="F5" s="13" t="n">
        <f aca="false">IF(C5&gt;0,D5/C5,0)</f>
        <v>0.593333333333333</v>
      </c>
      <c r="G5" s="8" t="str">
        <f aca="false">IF(F5&gt;0.9,"Over Budget",IF(F5&gt;0.75,"On Track","Under Budget"))</f>
        <v>Under Budget</v>
      </c>
    </row>
    <row r="6" customFormat="false" ht="15" hidden="false" customHeight="false" outlineLevel="0" collapsed="false">
      <c r="A6" s="8" t="str">
        <f aca="false">Projects!A6</f>
        <v>PRJ002</v>
      </c>
      <c r="B6" s="8" t="str">
        <f aca="false">Projects!B6</f>
        <v>Mobile App Development</v>
      </c>
      <c r="C6" s="21" t="n">
        <f aca="false">Projects!H6</f>
        <v>250000</v>
      </c>
      <c r="D6" s="21" t="n">
        <f aca="false">Projects!I6</f>
        <v>125000</v>
      </c>
      <c r="E6" s="21" t="n">
        <f aca="false">C6-D6</f>
        <v>125000</v>
      </c>
      <c r="F6" s="13" t="n">
        <f aca="false">IF(C6&gt;0,D6/C6,0)</f>
        <v>0.5</v>
      </c>
      <c r="G6" s="8" t="str">
        <f aca="false">IF(F6&gt;0.9,"Over Budget",IF(F6&gt;0.75,"On Track","Under Budget"))</f>
        <v>Under Budget</v>
      </c>
    </row>
    <row r="7" customFormat="false" ht="15" hidden="false" customHeight="false" outlineLevel="0" collapsed="false">
      <c r="A7" s="8" t="str">
        <f aca="false">Projects!A7</f>
        <v>PRJ003</v>
      </c>
      <c r="B7" s="8" t="str">
        <f aca="false">Projects!B7</f>
        <v>CRM Implementation</v>
      </c>
      <c r="C7" s="21" t="n">
        <f aca="false">Projects!H7</f>
        <v>180000</v>
      </c>
      <c r="D7" s="21" t="n">
        <f aca="false">Projects!I7</f>
        <v>175000</v>
      </c>
      <c r="E7" s="21" t="n">
        <f aca="false">C7-D7</f>
        <v>5000</v>
      </c>
      <c r="F7" s="13" t="n">
        <f aca="false">IF(C7&gt;0,D7/C7,0)</f>
        <v>0.972222222222222</v>
      </c>
      <c r="G7" s="8" t="str">
        <f aca="false">IF(F7&gt;0.9,"Over Budget",IF(F7&gt;0.75,"On Track","Under Budget"))</f>
        <v>Over Budget</v>
      </c>
    </row>
    <row r="8" customFormat="false" ht="15" hidden="false" customHeight="false" outlineLevel="0" collapsed="false">
      <c r="A8" s="8" t="str">
        <f aca="false">Projects!A8</f>
        <v>PRJ004</v>
      </c>
      <c r="B8" s="8" t="str">
        <f aca="false">Projects!B8</f>
        <v>Data Migration</v>
      </c>
      <c r="C8" s="21" t="n">
        <f aca="false">Projects!H8</f>
        <v>95000</v>
      </c>
      <c r="D8" s="21" t="n">
        <f aca="false">Projects!I8</f>
        <v>58000</v>
      </c>
      <c r="E8" s="21" t="n">
        <f aca="false">C8-D8</f>
        <v>37000</v>
      </c>
      <c r="F8" s="13" t="n">
        <f aca="false">IF(C8&gt;0,D8/C8,0)</f>
        <v>0.610526315789474</v>
      </c>
      <c r="G8" s="8" t="str">
        <f aca="false">IF(F8&gt;0.9,"Over Budget",IF(F8&gt;0.75,"On Track","Under Budget"))</f>
        <v>Under Budget</v>
      </c>
    </row>
    <row r="9" customFormat="false" ht="15" hidden="false" customHeight="false" outlineLevel="0" collapsed="false">
      <c r="A9" s="8" t="str">
        <f aca="false">Projects!A9</f>
        <v>PRJ005</v>
      </c>
      <c r="B9" s="8" t="str">
        <f aca="false">Projects!B9</f>
        <v>Marketing Campaign</v>
      </c>
      <c r="C9" s="21" t="n">
        <f aca="false">Projects!H9</f>
        <v>75000</v>
      </c>
      <c r="D9" s="21" t="n">
        <f aca="false">Projects!I9</f>
        <v>5000</v>
      </c>
      <c r="E9" s="21" t="n">
        <f aca="false">C9-D9</f>
        <v>70000</v>
      </c>
      <c r="F9" s="13" t="n">
        <f aca="false">IF(C9&gt;0,D9/C9,0)</f>
        <v>0.0666666666666667</v>
      </c>
      <c r="G9" s="8" t="str">
        <f aca="false">IF(F9&gt;0.9,"Over Budget",IF(F9&gt;0.75,"On Track","Under Budget"))</f>
        <v>Under Budget</v>
      </c>
    </row>
    <row r="10" customFormat="false" ht="15" hidden="false" customHeight="false" outlineLevel="0" collapsed="false">
      <c r="A10" s="8" t="str">
        <f aca="false">Projects!A10</f>
        <v>PRJ006</v>
      </c>
      <c r="B10" s="8" t="str">
        <f aca="false">Projects!B10</f>
        <v>Infrastructure Upgrade</v>
      </c>
      <c r="C10" s="21" t="n">
        <f aca="false">Projects!H10</f>
        <v>320000</v>
      </c>
      <c r="D10" s="21" t="n">
        <f aca="false">Projects!I10</f>
        <v>245000</v>
      </c>
      <c r="E10" s="21" t="n">
        <f aca="false">C10-D10</f>
        <v>75000</v>
      </c>
      <c r="F10" s="13" t="n">
        <f aca="false">IF(C10&gt;0,D10/C10,0)</f>
        <v>0.765625</v>
      </c>
      <c r="G10" s="8" t="str">
        <f aca="false">IF(F10&gt;0.9,"Over Budget",IF(F10&gt;0.75,"On Track","Under Budget"))</f>
        <v>On Track</v>
      </c>
    </row>
    <row r="11" customFormat="false" ht="15" hidden="false" customHeight="false" outlineLevel="0" collapsed="false">
      <c r="A11" s="8" t="str">
        <f aca="false">Projects!A11</f>
        <v>PRJ007</v>
      </c>
      <c r="B11" s="8" t="str">
        <f aca="false">Projects!B11</f>
        <v>Customer Portal</v>
      </c>
      <c r="C11" s="21" t="n">
        <f aca="false">Projects!H11</f>
        <v>125000</v>
      </c>
      <c r="D11" s="21" t="n">
        <f aca="false">Projects!I11</f>
        <v>95000</v>
      </c>
      <c r="E11" s="21" t="n">
        <f aca="false">C11-D11</f>
        <v>30000</v>
      </c>
      <c r="F11" s="13" t="n">
        <f aca="false">IF(C11&gt;0,D11/C11,0)</f>
        <v>0.76</v>
      </c>
      <c r="G11" s="8" t="str">
        <f aca="false">IF(F11&gt;0.9,"Over Budget",IF(F11&gt;0.75,"On Track","Under Budget"))</f>
        <v>On Track</v>
      </c>
    </row>
    <row r="12" customFormat="false" ht="15" hidden="false" customHeight="false" outlineLevel="0" collapsed="false">
      <c r="A12" s="8" t="str">
        <f aca="false">Projects!A12</f>
        <v>PRJ008</v>
      </c>
      <c r="B12" s="8" t="str">
        <f aca="false">Projects!B12</f>
        <v>Analytics Dashboard</v>
      </c>
      <c r="C12" s="21" t="n">
        <f aca="false">Projects!H12</f>
        <v>88000</v>
      </c>
      <c r="D12" s="21" t="n">
        <f aca="false">Projects!I12</f>
        <v>42000</v>
      </c>
      <c r="E12" s="21" t="n">
        <f aca="false">C12-D12</f>
        <v>46000</v>
      </c>
      <c r="F12" s="13" t="n">
        <f aca="false">IF(C12&gt;0,D12/C12,0)</f>
        <v>0.477272727272727</v>
      </c>
      <c r="G12" s="8" t="str">
        <f aca="false">IF(F12&gt;0.9,"Over Budget",IF(F12&gt;0.75,"On Track","Under Budget"))</f>
        <v>Under Budget</v>
      </c>
    </row>
    <row r="13" customFormat="false" ht="15" hidden="false" customHeight="false" outlineLevel="0" collapsed="false">
      <c r="A13" s="8" t="str">
        <f aca="false">Projects!A13</f>
        <v>PRJ009</v>
      </c>
      <c r="B13" s="8" t="str">
        <f aca="false">Projects!B13</f>
        <v>Security Audit</v>
      </c>
      <c r="C13" s="21" t="n">
        <f aca="false">Projects!H13</f>
        <v>65000</v>
      </c>
      <c r="D13" s="21" t="n">
        <f aca="false">Projects!I13</f>
        <v>63000</v>
      </c>
      <c r="E13" s="21" t="n">
        <f aca="false">C13-D13</f>
        <v>2000</v>
      </c>
      <c r="F13" s="13" t="n">
        <f aca="false">IF(C13&gt;0,D13/C13,0)</f>
        <v>0.969230769230769</v>
      </c>
      <c r="G13" s="8" t="str">
        <f aca="false">IF(F13&gt;0.9,"Over Budget",IF(F13&gt;0.75,"On Track","Under Budget"))</f>
        <v>Over Budget</v>
      </c>
    </row>
    <row r="14" customFormat="false" ht="15" hidden="false" customHeight="false" outlineLevel="0" collapsed="false">
      <c r="A14" s="8" t="str">
        <f aca="false">Projects!A14</f>
        <v>PRJ010</v>
      </c>
      <c r="B14" s="8" t="str">
        <f aca="false">Projects!B14</f>
        <v>Training Program</v>
      </c>
      <c r="C14" s="21" t="n">
        <f aca="false">Projects!H14</f>
        <v>45000</v>
      </c>
      <c r="D14" s="21" t="n">
        <f aca="false">Projects!I14</f>
        <v>12000</v>
      </c>
      <c r="E14" s="21" t="n">
        <f aca="false">C14-D14</f>
        <v>33000</v>
      </c>
      <c r="F14" s="13" t="n">
        <f aca="false">IF(C14&gt;0,D14/C14,0)</f>
        <v>0.266666666666667</v>
      </c>
      <c r="G14" s="8" t="str">
        <f aca="false">IF(F14&gt;0.9,"Over Budget",IF(F14&gt;0.75,"On Track","Under Budget"))</f>
        <v>Under Budget</v>
      </c>
    </row>
    <row r="15" customFormat="false" ht="15" hidden="false" customHeight="false" outlineLevel="0" collapsed="false">
      <c r="A15" s="8" t="str">
        <f aca="false">Projects!A15</f>
        <v>PRJ011</v>
      </c>
      <c r="B15" s="8" t="str">
        <f aca="false">Projects!B15</f>
        <v>ERP Integration</v>
      </c>
      <c r="C15" s="21" t="n">
        <f aca="false">Projects!H15</f>
        <v>280000</v>
      </c>
      <c r="D15" s="21" t="n">
        <f aca="false">Projects!I15</f>
        <v>15000</v>
      </c>
      <c r="E15" s="21" t="n">
        <f aca="false">C15-D15</f>
        <v>265000</v>
      </c>
      <c r="F15" s="13" t="n">
        <f aca="false">IF(C15&gt;0,D15/C15,0)</f>
        <v>0.0535714285714286</v>
      </c>
      <c r="G15" s="8" t="str">
        <f aca="false">IF(F15&gt;0.9,"Over Budget",IF(F15&gt;0.75,"On Track","Under Budget"))</f>
        <v>Under Budget</v>
      </c>
    </row>
    <row r="16" customFormat="false" ht="15" hidden="false" customHeight="false" outlineLevel="0" collapsed="false">
      <c r="A16" s="8" t="str">
        <f aca="false">Projects!A16</f>
        <v>PRJ012</v>
      </c>
      <c r="B16" s="8" t="str">
        <f aca="false">Projects!B16</f>
        <v>API Development</v>
      </c>
      <c r="C16" s="21" t="n">
        <f aca="false">Projects!H16</f>
        <v>110000</v>
      </c>
      <c r="D16" s="21" t="n">
        <f aca="false">Projects!I16</f>
        <v>67000</v>
      </c>
      <c r="E16" s="21" t="n">
        <f aca="false">C16-D16</f>
        <v>43000</v>
      </c>
      <c r="F16" s="13" t="n">
        <f aca="false">IF(C16&gt;0,D16/C16,0)</f>
        <v>0.609090909090909</v>
      </c>
      <c r="G16" s="8" t="str">
        <f aca="false">IF(F16&gt;0.9,"Over Budget",IF(F16&gt;0.75,"On Track","Under Budget"))</f>
        <v>Under Budget</v>
      </c>
    </row>
    <row r="17" customFormat="false" ht="15" hidden="false" customHeight="false" outlineLevel="0" collapsed="false">
      <c r="A17" s="8" t="str">
        <f aca="false">Projects!A17</f>
        <v>PRJ013</v>
      </c>
      <c r="B17" s="8" t="str">
        <f aca="false">Projects!B17</f>
        <v>Cloud Migration</v>
      </c>
      <c r="C17" s="21" t="n">
        <f aca="false">Projects!H17</f>
        <v>395000</v>
      </c>
      <c r="D17" s="21" t="n">
        <f aca="false">Projects!I17</f>
        <v>285000</v>
      </c>
      <c r="E17" s="21" t="n">
        <f aca="false">C17-D17</f>
        <v>110000</v>
      </c>
      <c r="F17" s="13" t="n">
        <f aca="false">IF(C17&gt;0,D17/C17,0)</f>
        <v>0.721518987341772</v>
      </c>
      <c r="G17" s="8" t="str">
        <f aca="false">IF(F17&gt;0.9,"Over Budget",IF(F17&gt;0.75,"On Track","Under Budget"))</f>
        <v>Under Budget</v>
      </c>
    </row>
    <row r="18" customFormat="false" ht="15" hidden="false" customHeight="false" outlineLevel="0" collapsed="false">
      <c r="A18" s="8" t="str">
        <f aca="false">Projects!A18</f>
        <v>PRJ014</v>
      </c>
      <c r="B18" s="8" t="str">
        <f aca="false">Projects!B18</f>
        <v>Mobile Optimization</v>
      </c>
      <c r="C18" s="21" t="n">
        <f aca="false">Projects!H18</f>
        <v>52000</v>
      </c>
      <c r="D18" s="21" t="n">
        <f aca="false">Projects!I18</f>
        <v>51000</v>
      </c>
      <c r="E18" s="21" t="n">
        <f aca="false">C18-D18</f>
        <v>1000</v>
      </c>
      <c r="F18" s="13" t="n">
        <f aca="false">IF(C18&gt;0,D18/C18,0)</f>
        <v>0.980769230769231</v>
      </c>
      <c r="G18" s="8" t="str">
        <f aca="false">IF(F18&gt;0.9,"Over Budget",IF(F18&gt;0.75,"On Track","Under Budget"))</f>
        <v>Over Budget</v>
      </c>
    </row>
    <row r="19" customFormat="false" ht="15" hidden="false" customHeight="false" outlineLevel="0" collapsed="false">
      <c r="A19" s="8" t="str">
        <f aca="false">Projects!A19</f>
        <v>PRJ015</v>
      </c>
      <c r="B19" s="8" t="str">
        <f aca="false">Projects!B19</f>
        <v>Vendor Management System</v>
      </c>
      <c r="C19" s="21" t="n">
        <f aca="false">Projects!H19</f>
        <v>135000</v>
      </c>
      <c r="D19" s="21" t="n">
        <f aca="false">Projects!I19</f>
        <v>108000</v>
      </c>
      <c r="E19" s="21" t="n">
        <f aca="false">C19-D19</f>
        <v>27000</v>
      </c>
      <c r="F19" s="13" t="n">
        <f aca="false">IF(C19&gt;0,D19/C19,0)</f>
        <v>0.8</v>
      </c>
      <c r="G19" s="8" t="str">
        <f aca="false">IF(F19&gt;0.9,"Over Budget",IF(F19&gt;0.75,"On Track","Under Budget"))</f>
        <v>On Track</v>
      </c>
    </row>
    <row r="21" customFormat="false" ht="15" hidden="false" customHeight="false" outlineLevel="0" collapsed="false">
      <c r="A21" s="22" t="s">
        <v>110</v>
      </c>
      <c r="B21" s="22"/>
      <c r="C21" s="23" t="n">
        <f aca="false">SUM(C5:C19)</f>
        <v>2365000</v>
      </c>
      <c r="D21" s="23" t="n">
        <f aca="false">SUM(D5:D19)</f>
        <v>1435000</v>
      </c>
      <c r="E21" s="23" t="n">
        <f aca="false">SUM(E5:E19)</f>
        <v>930000</v>
      </c>
      <c r="F21" s="24" t="n">
        <f aca="false">D21/C21</f>
        <v>0.60676532769556</v>
      </c>
      <c r="G21" s="2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2026-04-09T06:51:09Z</dcterms:created>
  <dc:creator>openpyxl</dc:creator>
  <dc:description/>
  <dc:language>en-US</dc:language>
  <cp:lastModifiedBy/>
  <dcterms:modified xsi:type="dcterms:W3CDTF">2026-04-09T06:51:09Z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